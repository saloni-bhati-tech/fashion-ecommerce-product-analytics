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shion-Ecommerce-Product-Analytics\data\excel\"/>
    </mc:Choice>
  </mc:AlternateContent>
  <xr:revisionPtr revIDLastSave="0" documentId="13_ncr:1_{E5977AB7-F76B-468E-89FA-64D4D36B0B0C}" xr6:coauthVersionLast="47" xr6:coauthVersionMax="47" xr10:uidLastSave="{00000000-0000-0000-0000-000000000000}"/>
  <bookViews>
    <workbookView xWindow="-24" yWindow="240" windowWidth="11724" windowHeight="12000" firstSheet="2" activeTab="3" xr2:uid="{5E62F8B1-345E-41A5-AC44-43A8C4807E65}"/>
  </bookViews>
  <sheets>
    <sheet name="Funnel Analysis" sheetId="1" r:id="rId1"/>
    <sheet name="Category Analysis" sheetId="2" r:id="rId2"/>
    <sheet name="Device Analysis" sheetId="3" r:id="rId3"/>
    <sheet name="Payment Analysis" sheetId="4" r:id="rId4"/>
    <sheet name="Returns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2" i="5"/>
  <c r="E3" i="4"/>
  <c r="E4" i="4"/>
  <c r="E2" i="4"/>
  <c r="D3" i="1"/>
  <c r="D4" i="1"/>
  <c r="D5" i="1"/>
  <c r="D6" i="1"/>
  <c r="D7" i="1"/>
  <c r="D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<sst xmlns="http://schemas.openxmlformats.org/spreadsheetml/2006/main" count="44" uniqueCount="41">
  <si>
    <t>Stage</t>
  </si>
  <si>
    <t>Customers</t>
  </si>
  <si>
    <t>Drop-off Rate</t>
  </si>
  <si>
    <t>Search</t>
  </si>
  <si>
    <t>Product View</t>
  </si>
  <si>
    <t>Add to Cart</t>
  </si>
  <si>
    <t>Checkout</t>
  </si>
  <si>
    <t>Payment</t>
  </si>
  <si>
    <t>Purchase</t>
  </si>
  <si>
    <t>Conversion Rate Drop-off Rate</t>
  </si>
  <si>
    <t>Category</t>
  </si>
  <si>
    <t>Search Users</t>
  </si>
  <si>
    <t>View Users</t>
  </si>
  <si>
    <t>Cart users</t>
  </si>
  <si>
    <t>Purchase Users</t>
  </si>
  <si>
    <t>Ethnic Wear</t>
  </si>
  <si>
    <t>Jeans</t>
  </si>
  <si>
    <t>Dresses</t>
  </si>
  <si>
    <t>Footwear</t>
  </si>
  <si>
    <t>T-Shirts</t>
  </si>
  <si>
    <t>Sarees</t>
  </si>
  <si>
    <t>Shirts</t>
  </si>
  <si>
    <t>Jackets</t>
  </si>
  <si>
    <t>Device</t>
  </si>
  <si>
    <t>Cart Users</t>
  </si>
  <si>
    <t>Mobile</t>
  </si>
  <si>
    <t>Desktop</t>
  </si>
  <si>
    <t>Payment Method</t>
  </si>
  <si>
    <t>Total Orders</t>
  </si>
  <si>
    <t>Completed Orders</t>
  </si>
  <si>
    <t>Cancelled Orders</t>
  </si>
  <si>
    <t>Completion Rate</t>
  </si>
  <si>
    <t>UPI</t>
  </si>
  <si>
    <t>Credit Card</t>
  </si>
  <si>
    <t>COD</t>
  </si>
  <si>
    <t>Return Reason</t>
  </si>
  <si>
    <t>Total Returns</t>
  </si>
  <si>
    <t>Return Share</t>
  </si>
  <si>
    <t>Size/Fit</t>
  </si>
  <si>
    <t>Quality Issue</t>
  </si>
  <si>
    <t>Color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</si>
</sst>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1C10-43C7-4804-BF39-894F5E1AB848}">
  <dimension ref="A1:D7"/>
  <sheetViews>
    <sheetView workbookViewId="0">
      <selection activeCell="D22" sqref="D22"/>
    </sheetView>
  </sheetViews>
  <sheetFormatPr defaultRowHeight="14.4"/>
  <sheetData>
    <row r="1" spans="1:4">
      <c r="A1" t="s">
        <v>0</v>
      </c>
      <c r="B1" t="s">
        <v>1</v>
      </c>
      <c r="C1" t="s">
        <v>9</v>
      </c>
      <c r="D1" t="s">
        <v>2</v>
      </c>
    </row>
    <row r="2" spans="1:4">
      <c r="A2" t="s">
        <v>3</v>
      </c>
      <c r="B2">
        <v>20</v>
      </c>
      <c r="C2" s="1">
        <f>IFERROR(B2/$B$2,0)</f>
        <v>1</v>
      </c>
      <c r="D2" s="1">
        <f>0</f>
        <v>0</v>
      </c>
    </row>
    <row r="3" spans="1:4">
      <c r="A3" t="s">
        <v>4</v>
      </c>
      <c r="B3">
        <v>20</v>
      </c>
      <c r="C3" s="1">
        <f t="shared" ref="C3:C7" si="0">IFERROR(B3/$B$2,0)</f>
        <v>1</v>
      </c>
      <c r="D3" s="1">
        <f>1-(B3/B2)</f>
        <v>0</v>
      </c>
    </row>
    <row r="4" spans="1:4">
      <c r="A4" t="s">
        <v>5</v>
      </c>
      <c r="B4">
        <v>19</v>
      </c>
      <c r="C4" s="1">
        <f t="shared" si="0"/>
        <v>0.95</v>
      </c>
      <c r="D4" s="1">
        <f>1-(B4/B3)</f>
        <v>5.0000000000000044E-2</v>
      </c>
    </row>
    <row r="5" spans="1:4">
      <c r="A5" t="s">
        <v>6</v>
      </c>
      <c r="B5">
        <v>17</v>
      </c>
      <c r="C5" s="1">
        <f t="shared" si="0"/>
        <v>0.85</v>
      </c>
      <c r="D5" s="1">
        <f>1-(B5/B4)</f>
        <v>0.10526315789473684</v>
      </c>
    </row>
    <row r="6" spans="1:4">
      <c r="A6" t="s">
        <v>7</v>
      </c>
      <c r="B6">
        <v>15</v>
      </c>
      <c r="C6" s="1">
        <f t="shared" si="0"/>
        <v>0.75</v>
      </c>
      <c r="D6" s="1">
        <f>1-(B6/B5)</f>
        <v>0.11764705882352944</v>
      </c>
    </row>
    <row r="7" spans="1:4">
      <c r="A7" t="s">
        <v>8</v>
      </c>
      <c r="B7">
        <v>8</v>
      </c>
      <c r="C7" s="1">
        <f t="shared" si="0"/>
        <v>0.4</v>
      </c>
      <c r="D7" s="1">
        <f>1-(B7/B6)</f>
        <v>0.46666666666666667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D705-2B65-48B9-AE0C-73887829B781}">
  <dimension ref="A1:E9"/>
  <sheetViews>
    <sheetView workbookViewId="0">
      <selection activeCell="D24" sqref="D24"/>
    </sheetView>
  </sheetViews>
  <sheetFormatPr defaultRowHeight="14.4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>
        <v>3</v>
      </c>
      <c r="C2">
        <v>3</v>
      </c>
      <c r="D2">
        <v>3</v>
      </c>
      <c r="E2">
        <v>2</v>
      </c>
    </row>
    <row r="3" spans="1:5">
      <c r="A3" t="s">
        <v>16</v>
      </c>
      <c r="B3">
        <v>3</v>
      </c>
      <c r="C3">
        <v>3</v>
      </c>
      <c r="D3">
        <v>3</v>
      </c>
      <c r="E3">
        <v>2</v>
      </c>
    </row>
    <row r="4" spans="1:5">
      <c r="A4" t="s">
        <v>17</v>
      </c>
      <c r="B4">
        <v>3</v>
      </c>
      <c r="C4">
        <v>3</v>
      </c>
      <c r="D4">
        <v>3</v>
      </c>
      <c r="E4">
        <v>2</v>
      </c>
    </row>
    <row r="5" spans="1:5">
      <c r="A5" t="s">
        <v>18</v>
      </c>
      <c r="B5">
        <v>2</v>
      </c>
      <c r="C5">
        <v>2</v>
      </c>
      <c r="D5">
        <v>2</v>
      </c>
      <c r="E5">
        <v>1</v>
      </c>
    </row>
    <row r="6" spans="1:5">
      <c r="A6" t="s">
        <v>19</v>
      </c>
      <c r="B6">
        <v>3</v>
      </c>
      <c r="C6">
        <v>3</v>
      </c>
      <c r="D6">
        <v>3</v>
      </c>
      <c r="E6">
        <v>0</v>
      </c>
    </row>
    <row r="7" spans="1:5">
      <c r="A7" t="s">
        <v>20</v>
      </c>
      <c r="B7">
        <v>4</v>
      </c>
      <c r="C7">
        <v>4</v>
      </c>
      <c r="D7">
        <v>4</v>
      </c>
      <c r="E7">
        <v>2</v>
      </c>
    </row>
    <row r="8" spans="1:5">
      <c r="A8" t="s">
        <v>21</v>
      </c>
      <c r="B8">
        <v>2</v>
      </c>
      <c r="C8">
        <v>2</v>
      </c>
      <c r="D8">
        <v>2</v>
      </c>
      <c r="E8">
        <v>1</v>
      </c>
    </row>
    <row r="9" spans="1:5">
      <c r="A9" t="s">
        <v>22</v>
      </c>
      <c r="B9">
        <v>1</v>
      </c>
      <c r="C9">
        <v>1</v>
      </c>
      <c r="D9">
        <v>1</v>
      </c>
      <c r="E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0915-C9D2-4183-A09A-B5115AAA11E3}">
  <dimension ref="A1:E3"/>
  <sheetViews>
    <sheetView workbookViewId="0">
      <selection activeCell="E4" sqref="E4"/>
    </sheetView>
  </sheetViews>
  <sheetFormatPr defaultRowHeight="14.4"/>
  <sheetData>
    <row r="1" spans="1:5">
      <c r="A1" t="s">
        <v>23</v>
      </c>
      <c r="B1" t="s">
        <v>1</v>
      </c>
      <c r="C1" t="s">
        <v>12</v>
      </c>
      <c r="D1" t="s">
        <v>24</v>
      </c>
      <c r="E1" t="s">
        <v>14</v>
      </c>
    </row>
    <row r="2" spans="1:5">
      <c r="A2" t="s">
        <v>25</v>
      </c>
      <c r="B2">
        <v>14</v>
      </c>
      <c r="C2">
        <v>14</v>
      </c>
      <c r="D2">
        <v>13</v>
      </c>
      <c r="E2">
        <v>6</v>
      </c>
    </row>
    <row r="3" spans="1:5">
      <c r="A3" t="s">
        <v>26</v>
      </c>
      <c r="B3">
        <v>6</v>
      </c>
      <c r="C3">
        <v>6</v>
      </c>
      <c r="D3">
        <v>6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9314-A619-4379-B0B0-0BF4ABC3F22E}">
  <dimension ref="A1:E4"/>
  <sheetViews>
    <sheetView tabSelected="1" workbookViewId="0">
      <selection activeCell="F17" sqref="F17"/>
    </sheetView>
  </sheetViews>
  <sheetFormatPr defaultRowHeight="14.4"/>
  <sheetData>
    <row r="1" spans="1: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>
      <c r="A2" t="s">
        <v>32</v>
      </c>
      <c r="B2">
        <v>7</v>
      </c>
      <c r="C2">
        <v>5</v>
      </c>
      <c r="D2">
        <v>2</v>
      </c>
      <c r="E2" s="1">
        <f>C2/B2</f>
        <v>0.7142857142857143</v>
      </c>
    </row>
    <row r="3" spans="1:5">
      <c r="A3" t="s">
        <v>33</v>
      </c>
      <c r="B3">
        <v>3</v>
      </c>
      <c r="C3">
        <v>2</v>
      </c>
      <c r="D3">
        <v>1</v>
      </c>
      <c r="E3" s="1">
        <f t="shared" ref="E3:E4" si="0">C3/B3</f>
        <v>0.66666666666666663</v>
      </c>
    </row>
    <row r="4" spans="1:5">
      <c r="A4" t="s">
        <v>34</v>
      </c>
      <c r="B4">
        <v>3</v>
      </c>
      <c r="C4">
        <v>2</v>
      </c>
      <c r="D4">
        <v>1</v>
      </c>
      <c r="E4" s="1">
        <f t="shared" si="0"/>
        <v>0.66666666666666663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4EF1-5A8B-4DCA-8F08-35BDAE1FA6F3}">
  <dimension ref="A1:C4"/>
  <sheetViews>
    <sheetView workbookViewId="0">
      <selection activeCell="F20" sqref="F20"/>
    </sheetView>
  </sheetViews>
  <sheetFormatPr defaultRowHeight="14.4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>
        <v>3</v>
      </c>
      <c r="C2" s="3">
        <f>B2/SUM($B$2:$B$4)</f>
        <v>0.5</v>
      </c>
    </row>
    <row r="3" spans="1:3">
      <c r="A3" s="2" t="s">
        <v>39</v>
      </c>
      <c r="B3">
        <v>2</v>
      </c>
      <c r="C3" s="3">
        <f t="shared" ref="C3:C4" si="0">B3/SUM($B$2:$B$4)</f>
        <v>0.33333333333333331</v>
      </c>
    </row>
    <row r="4" spans="1:3">
      <c r="A4" t="s">
        <v>40</v>
      </c>
      <c r="B4">
        <v>1</v>
      </c>
      <c r="C4" s="3">
        <f t="shared" si="0"/>
        <v>0.16666666666666666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Funnel Analysis</vt:lpstr>
      <vt:lpstr>Category Analysis</vt:lpstr>
      <vt:lpstr>Device Analysis</vt:lpstr>
      <vt:lpstr>Payment Analysis</vt:lpstr>
      <vt:lpstr>Returns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2026-09-11T17:30:57Z</dcterms:created>
  <dcterms:modified xsi:type="dcterms:W3CDTF">2026-09-11T18:29:06Z</dcterms:modified>
</cp:coreProperties>
</file>